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46F7D77C-3880-4CFA-BBAE-79BF4F7A6306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heet1" sheetId="1" r:id="rId1"/>
    <sheet name="Sheet2" sheetId="2" r:id="rId2"/>
    <sheet name="Bill_of_Quantities_BoQ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B38" i="1"/>
  <c r="B36" i="1"/>
  <c r="B34" i="1"/>
  <c r="B37" i="1"/>
  <c r="E6" i="1"/>
  <c r="G6" i="1" s="1"/>
  <c r="E7" i="1"/>
  <c r="G7" i="1" s="1"/>
  <c r="E13" i="1"/>
  <c r="E14" i="1"/>
  <c r="G14" i="1" s="1"/>
  <c r="E15" i="1"/>
  <c r="G15" i="1" s="1"/>
  <c r="E16" i="1"/>
  <c r="G16" i="1" s="1"/>
  <c r="E17" i="1"/>
  <c r="G17" i="1" s="1"/>
  <c r="E18" i="1"/>
  <c r="G18" i="1" s="1"/>
  <c r="E5" i="1"/>
  <c r="F14" i="3" l="1"/>
  <c r="G5" i="1"/>
  <c r="G9" i="1" s="1"/>
  <c r="E9" i="1"/>
  <c r="G13" i="1"/>
  <c r="G20" i="1" s="1"/>
  <c r="E20" i="1"/>
  <c r="B33" i="1" l="1"/>
</calcChain>
</file>

<file path=xl/sharedStrings.xml><?xml version="1.0" encoding="utf-8"?>
<sst xmlns="http://schemas.openxmlformats.org/spreadsheetml/2006/main" count="106" uniqueCount="89">
  <si>
    <t>S. No.</t>
  </si>
  <si>
    <t>Description (Equipment Name)</t>
  </si>
  <si>
    <t>Unit Rating (kW)</t>
  </si>
  <si>
    <t>Quantity</t>
  </si>
  <si>
    <t>Total Connected Load (kW)</t>
  </si>
  <si>
    <t>Diversity Factor (%)</t>
  </si>
  <si>
    <t>Maximum Demand (kW)</t>
  </si>
  <si>
    <t xml:space="preserve">NOTE </t>
  </si>
  <si>
    <t>PART A: RESIDENTIAL LOAD (Flats)</t>
  </si>
  <si>
    <r>
      <t>Standard 3BHK Flat Load</t>
    </r>
    <r>
      <rPr>
        <sz val="11"/>
        <color theme="1"/>
        <rFont val="Calibri"/>
        <family val="2"/>
        <scheme val="minor"/>
      </rPr>
      <t xml:space="preserve"> (Lights, Fans, Sockets)</t>
    </r>
  </si>
  <si>
    <r>
      <t>VRV Air Conditioning</t>
    </r>
    <r>
      <rPr>
        <sz val="11"/>
        <color theme="1"/>
        <rFont val="Calibri"/>
        <family val="2"/>
        <scheme val="minor"/>
      </rPr>
      <t xml:space="preserve"> (Indoor + Outdoor Units)</t>
    </r>
  </si>
  <si>
    <t>Geysers &amp; Heavy Appliances</t>
  </si>
  <si>
    <t>TOTAL RESIDENTIAL LOAD</t>
  </si>
  <si>
    <t>PART B: COMMON AREA SERVICES</t>
  </si>
  <si>
    <t>Schindler Passenger Lift (High Speed)</t>
  </si>
  <si>
    <t>Water Transfer Pumps (Domestic)</t>
  </si>
  <si>
    <t>Common Area Lighting (LED)</t>
  </si>
  <si>
    <t>External/Landscape Lighting</t>
  </si>
  <si>
    <t>EV Charging Stations</t>
  </si>
  <si>
    <t>STP (Sewage Treatment Plant)</t>
  </si>
  <si>
    <t>TOTAL COMMON LOAD</t>
  </si>
  <si>
    <t>PART C: CRITICAL / FIRE SERVICES</t>
  </si>
  <si>
    <t>Main Fire Pump</t>
  </si>
  <si>
    <t>Only runs during Fire</t>
  </si>
  <si>
    <t>Jockey Pump</t>
  </si>
  <si>
    <t>Maintains pressure</t>
  </si>
  <si>
    <t>Staircase Pressurization Fan</t>
  </si>
  <si>
    <t>Smoke control</t>
  </si>
  <si>
    <t>PARAMETER</t>
  </si>
  <si>
    <t>VALUE</t>
  </si>
  <si>
    <t>UNIT</t>
  </si>
  <si>
    <t>Total Connected Load</t>
  </si>
  <si>
    <t>KW</t>
  </si>
  <si>
    <t>Total Max Demand (P)</t>
  </si>
  <si>
    <t>Power Factor (PF)</t>
  </si>
  <si>
    <t>Calculated kVA (P/PF)</t>
  </si>
  <si>
    <t>Safety Margin</t>
  </si>
  <si>
    <t>Final Transformer Capacity</t>
  </si>
  <si>
    <t>Selected Standard Rating</t>
  </si>
  <si>
    <t>Level</t>
  </si>
  <si>
    <t>Component Name</t>
  </si>
  <si>
    <t>Rating</t>
  </si>
  <si>
    <t>Note</t>
  </si>
  <si>
    <t>Column1</t>
  </si>
  <si>
    <t>Source</t>
  </si>
  <si>
    <t>Transformer</t>
  </si>
  <si>
    <t>630 kVA</t>
  </si>
  <si>
    <t>Outdoor</t>
  </si>
  <si>
    <t>DG Set (Backup)</t>
  </si>
  <si>
    <t>250 kVA</t>
  </si>
  <si>
    <t>Acoustic Enclosure</t>
  </si>
  <si>
    <t>Main Panel</t>
  </si>
  <si>
    <t>Main LT Panel (PCC)</t>
  </si>
  <si>
    <t>1000 A</t>
  </si>
  <si>
    <t>With ATS (Auto Switch)</t>
  </si>
  <si>
    <t>Riser</t>
  </si>
  <si>
    <t>Main Busbar (BBT)</t>
  </si>
  <si>
    <t>800 A</t>
  </si>
  <si>
    <t>40 Meters</t>
  </si>
  <si>
    <t>G to Terrace Height</t>
  </si>
  <si>
    <t>Floors</t>
  </si>
  <si>
    <t>Tap-off Box</t>
  </si>
  <si>
    <t>63 A</t>
  </si>
  <si>
    <t>1 per Floor</t>
  </si>
  <si>
    <t>Meter Board</t>
  </si>
  <si>
    <t>4 Meters inside</t>
  </si>
  <si>
    <t>Final</t>
  </si>
  <si>
    <t>Flat DB</t>
  </si>
  <si>
    <t>8 Way TPN</t>
  </si>
  <si>
    <t>Inside Flats</t>
  </si>
  <si>
    <t>S.No.</t>
  </si>
  <si>
    <t>Item Description</t>
  </si>
  <si>
    <t>Unit</t>
  </si>
  <si>
    <t>Rate (₹)</t>
  </si>
  <si>
    <t>Amount (₹)</t>
  </si>
  <si>
    <t>Transformer: 630 kVA, 11/0.433 kV, Oil Cooled Type</t>
  </si>
  <si>
    <t>Nos.</t>
  </si>
  <si>
    <t>Diesel Generator (DG Set): 250 kVA, Silent Enclosure, Auto-Start</t>
  </si>
  <si>
    <t>Main LT Panel: Floor mounted, with 1000A ACB Incomer &amp; Busbar coupler</t>
  </si>
  <si>
    <t xml:space="preserve">Capacitor Bank (APFC): 250 kVAR </t>
  </si>
  <si>
    <t>Rising Mains (BBT): 800A, 4-Pole Aluminium Busbar Trunking</t>
  </si>
  <si>
    <t>Mtrs.</t>
  </si>
  <si>
    <t>Tap-off Box: Plug-in unit for BBT with 125A MCCB</t>
  </si>
  <si>
    <t>Floor Distribution Panel: Wall mounted, for 4 Flats metering</t>
  </si>
  <si>
    <t>Energy Meters: Single Phase Digital kWh Meter</t>
  </si>
  <si>
    <t>Sub-main Cable: 4C x 16 sq.mm Al. Armoured Cable (Floor Panel to Flat DB)</t>
  </si>
  <si>
    <t xml:space="preserve">Earthing: Copper Plate Earthing Set </t>
  </si>
  <si>
    <t>Sets</t>
  </si>
  <si>
    <t>Total Project Cost=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</si>
</sst>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theme="1"/>
      <name val="Google Sans Tex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/>
    <xf numFmtId="3" fontId="0" fillId="0" borderId="1" xfId="0" applyNumberFormat="1" applyBorder="1"/>
    <xf numFmtId="0" fontId="4" fillId="3" borderId="1" xfId="0" applyFont="1" applyFill="1" applyBorder="1"/>
  </cellXfs>
  <cellStyles count="1">
    <cellStyle name="Normal" xfId="0" builtinId="0"/>
  </cellStyles>
  <dxfs count="20">
    <dxf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solid">
          <fgColor indexed="64"/>
          <bgColor theme="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righ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righ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right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4CF21-B02E-4DDC-B890-FB8967D0C4D1}" name="Table1" displayName="Table1" ref="A1:F11" totalsRowShown="0" headerRowDxfId="19" headerRowBorderDxfId="17" tableBorderDxfId="18" totalsRowBorderDxfId="16">
  <autoFilter ref="A1:F11" xr:uid="{EC04CF21-B02E-4DDC-B890-FB8967D0C4D1}"/>
  <tableColumns count="6">
    <tableColumn id="1" xr3:uid="{589B91DE-BC14-42E7-95EA-17798DB7B0CD}" name="Level" dataDxfId="15"/>
    <tableColumn id="2" xr3:uid="{9E7E2FBF-974B-4A1D-AC11-85E9A0C5A896}" name="Component Name" dataDxfId="14"/>
    <tableColumn id="3" xr3:uid="{CC56E718-5B4D-42B2-BDDC-126BFD2048ED}" name="Rating" dataDxfId="13"/>
    <tableColumn id="4" xr3:uid="{CA2AE89C-FFB1-48BA-BC88-7E560878B000}" name="Quantity" dataDxfId="12"/>
    <tableColumn id="5" xr3:uid="{3736FECB-2764-447A-AB06-F8B5CE49FE15}" name="Note" dataDxfId="11"/>
    <tableColumn id="6" xr3:uid="{C9439620-0F25-46A1-9DCF-C7AAF32655F5}" name="Column1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C75D40-EC74-4602-BB0B-79578D657E59}" name="Table2" displayName="Table2" ref="A1:F12" totalsRowShown="0" headerRowDxfId="9" headerRowBorderDxfId="7" tableBorderDxfId="8" totalsRowBorderDxfId="6">
  <autoFilter ref="A1:F12" xr:uid="{58C75D40-EC74-4602-BB0B-79578D657E59}"/>
  <tableColumns count="6">
    <tableColumn id="1" xr3:uid="{0D2BEB87-FDD5-4194-B80C-A384445DE186}" name="S.No." dataDxfId="5"/>
    <tableColumn id="2" xr3:uid="{E437EB57-B38D-456A-903C-012ACE282DB4}" name="Item Description" dataDxfId="4"/>
    <tableColumn id="3" xr3:uid="{86B90AA4-FD8E-4744-B60D-C6B5ABE4282E}" name="Unit" dataDxfId="3"/>
    <tableColumn id="4" xr3:uid="{A151563B-BCEE-401C-ACDE-DA7CF3A2AE0C}" name="Quantity" dataDxfId="2"/>
    <tableColumn id="5" xr3:uid="{0FE73ABD-7F05-467C-83A7-6CCF704F9FD8}" name="Rate (₹)" dataDxfId="1"/>
    <tableColumn id="6" xr3:uid="{413555C0-92AF-4EC8-A23A-57E5468B4A81}" name="Amount (₹)" dataDxfId="0">
      <calculatedColumnFormula>Table2[[#This Row],[Rate (₹)]]*Table2[[#This Row],[Quantity]]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selection activeCell="E38" sqref="E38"/>
    </sheetView>
  </sheetViews>
  <sheetFormatPr defaultRowHeight="15"/>
  <cols>
    <col min="1" max="1" width="53.42578125" style="8" customWidth="1"/>
    <col min="2" max="2" width="36.5703125" style="1" bestFit="1" customWidth="1"/>
    <col min="3" max="3" width="15.28515625" style="4" bestFit="1" customWidth="1"/>
    <col min="4" max="4" width="9.140625" style="4"/>
    <col min="5" max="5" width="25" style="4" bestFit="1" customWidth="1"/>
    <col min="6" max="6" width="18.140625" style="4" bestFit="1" customWidth="1"/>
    <col min="7" max="7" width="22.140625" style="4" bestFit="1" customWidth="1"/>
    <col min="8" max="8" width="19" style="1" bestFit="1" customWidth="1"/>
    <col min="9" max="16384" width="9.140625" style="1"/>
  </cols>
  <sheetData>
    <row r="1" spans="1:8" s="5" customFormat="1">
      <c r="A1" s="11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5" t="s">
        <v>7</v>
      </c>
    </row>
    <row r="3" spans="1:8">
      <c r="A3" s="3" t="s">
        <v>8</v>
      </c>
    </row>
    <row r="5" spans="1:8" ht="30.75">
      <c r="A5" s="8">
        <v>1</v>
      </c>
      <c r="B5" s="2" t="s">
        <v>9</v>
      </c>
      <c r="C5" s="4">
        <v>5</v>
      </c>
      <c r="D5" s="4">
        <v>40</v>
      </c>
      <c r="E5" s="4">
        <f>C5*D5</f>
        <v>200</v>
      </c>
      <c r="F5" s="4">
        <v>50</v>
      </c>
      <c r="G5" s="4">
        <f>E5*(F5/100)</f>
        <v>100</v>
      </c>
    </row>
    <row r="6" spans="1:8" ht="30.75">
      <c r="A6" s="8">
        <v>2</v>
      </c>
      <c r="B6" s="2" t="s">
        <v>10</v>
      </c>
      <c r="C6" s="4">
        <v>6</v>
      </c>
      <c r="D6" s="4">
        <v>40</v>
      </c>
      <c r="E6" s="4">
        <f t="shared" ref="E6:E18" si="0">C6*D6</f>
        <v>240</v>
      </c>
      <c r="F6" s="4">
        <v>60</v>
      </c>
      <c r="G6" s="4">
        <f t="shared" ref="G6:G18" si="1">E6*(F6/100)</f>
        <v>144</v>
      </c>
    </row>
    <row r="7" spans="1:8">
      <c r="A7" s="8">
        <v>3</v>
      </c>
      <c r="B7" s="1" t="s">
        <v>11</v>
      </c>
      <c r="C7" s="4">
        <v>3</v>
      </c>
      <c r="D7" s="4">
        <v>40</v>
      </c>
      <c r="E7" s="4">
        <f t="shared" si="0"/>
        <v>120</v>
      </c>
      <c r="F7" s="4">
        <v>40</v>
      </c>
      <c r="G7" s="4">
        <f t="shared" si="1"/>
        <v>48</v>
      </c>
    </row>
    <row r="8" spans="1:8">
      <c r="E8" s="1"/>
    </row>
    <row r="9" spans="1:8">
      <c r="A9" s="3" t="s">
        <v>12</v>
      </c>
      <c r="E9" s="4">
        <f>E5+E6+E7</f>
        <v>560</v>
      </c>
      <c r="G9" s="4">
        <f>G5+G6+G7</f>
        <v>292</v>
      </c>
    </row>
    <row r="11" spans="1:8">
      <c r="A11" s="3" t="s">
        <v>13</v>
      </c>
    </row>
    <row r="13" spans="1:8">
      <c r="A13" s="8">
        <v>4</v>
      </c>
      <c r="B13" s="1" t="s">
        <v>14</v>
      </c>
      <c r="C13" s="4">
        <v>7</v>
      </c>
      <c r="D13" s="4">
        <v>2</v>
      </c>
      <c r="E13" s="4">
        <f t="shared" si="0"/>
        <v>14</v>
      </c>
      <c r="F13" s="4">
        <v>100</v>
      </c>
      <c r="G13" s="4">
        <f t="shared" si="1"/>
        <v>14</v>
      </c>
    </row>
    <row r="14" spans="1:8">
      <c r="A14" s="8">
        <v>5</v>
      </c>
      <c r="B14" s="1" t="s">
        <v>15</v>
      </c>
      <c r="C14" s="4">
        <v>7.5</v>
      </c>
      <c r="D14" s="4">
        <v>2</v>
      </c>
      <c r="E14" s="4">
        <f t="shared" si="0"/>
        <v>15</v>
      </c>
      <c r="F14" s="4">
        <v>50</v>
      </c>
      <c r="G14" s="4">
        <f t="shared" si="1"/>
        <v>7.5</v>
      </c>
    </row>
    <row r="15" spans="1:8">
      <c r="A15" s="8">
        <v>6</v>
      </c>
      <c r="B15" s="1" t="s">
        <v>16</v>
      </c>
      <c r="C15" s="4">
        <v>5</v>
      </c>
      <c r="D15" s="4">
        <v>1</v>
      </c>
      <c r="E15" s="4">
        <f t="shared" si="0"/>
        <v>5</v>
      </c>
      <c r="F15" s="4">
        <v>100</v>
      </c>
      <c r="G15" s="4">
        <f t="shared" si="1"/>
        <v>5</v>
      </c>
    </row>
    <row r="16" spans="1:8">
      <c r="A16" s="8">
        <v>7</v>
      </c>
      <c r="B16" s="1" t="s">
        <v>17</v>
      </c>
      <c r="C16" s="4">
        <v>4</v>
      </c>
      <c r="D16" s="4">
        <v>1</v>
      </c>
      <c r="E16" s="4">
        <f t="shared" si="0"/>
        <v>4</v>
      </c>
      <c r="F16" s="4">
        <v>100</v>
      </c>
      <c r="G16" s="4">
        <f t="shared" si="1"/>
        <v>4</v>
      </c>
    </row>
    <row r="17" spans="1:8">
      <c r="A17" s="8">
        <v>8</v>
      </c>
      <c r="B17" s="1" t="s">
        <v>18</v>
      </c>
      <c r="C17" s="4">
        <v>7.4</v>
      </c>
      <c r="D17" s="4">
        <v>5</v>
      </c>
      <c r="E17" s="4">
        <f t="shared" si="0"/>
        <v>37</v>
      </c>
      <c r="F17" s="4">
        <v>40</v>
      </c>
      <c r="G17" s="4">
        <f t="shared" si="1"/>
        <v>14.8</v>
      </c>
    </row>
    <row r="18" spans="1:8">
      <c r="A18" s="8">
        <v>9</v>
      </c>
      <c r="B18" s="1" t="s">
        <v>19</v>
      </c>
      <c r="C18" s="4">
        <v>10</v>
      </c>
      <c r="D18" s="4">
        <v>1</v>
      </c>
      <c r="E18" s="4">
        <f t="shared" si="0"/>
        <v>10</v>
      </c>
      <c r="F18" s="4">
        <v>100</v>
      </c>
      <c r="G18" s="4">
        <f t="shared" si="1"/>
        <v>10</v>
      </c>
    </row>
    <row r="20" spans="1:8">
      <c r="A20" s="3" t="s">
        <v>20</v>
      </c>
      <c r="E20" s="4">
        <f>E13+E14+E15+E16+E17+E18</f>
        <v>85</v>
      </c>
      <c r="G20" s="4">
        <f>G13+G14+G15+G16+G17+G18</f>
        <v>55.3</v>
      </c>
    </row>
    <row r="23" spans="1:8">
      <c r="A23" s="3" t="s">
        <v>21</v>
      </c>
    </row>
    <row r="25" spans="1:8">
      <c r="A25" s="8">
        <v>10</v>
      </c>
      <c r="B25" s="1" t="s">
        <v>22</v>
      </c>
      <c r="C25" s="4">
        <v>55</v>
      </c>
      <c r="D25" s="4">
        <v>1</v>
      </c>
      <c r="E25" s="4">
        <v>55</v>
      </c>
      <c r="H25" s="7" t="s">
        <v>23</v>
      </c>
    </row>
    <row r="26" spans="1:8">
      <c r="A26" s="8">
        <v>11</v>
      </c>
      <c r="B26" s="1" t="s">
        <v>24</v>
      </c>
      <c r="C26" s="4">
        <v>5.5</v>
      </c>
      <c r="D26" s="4">
        <v>1</v>
      </c>
      <c r="E26" s="4">
        <v>5.5</v>
      </c>
      <c r="H26" s="1" t="s">
        <v>25</v>
      </c>
    </row>
    <row r="27" spans="1:8">
      <c r="A27" s="8">
        <v>12</v>
      </c>
      <c r="B27" s="1" t="s">
        <v>26</v>
      </c>
      <c r="C27" s="4">
        <v>7.5</v>
      </c>
      <c r="D27" s="4">
        <v>2</v>
      </c>
      <c r="E27" s="4">
        <v>7.5</v>
      </c>
      <c r="H27" s="1" t="s">
        <v>27</v>
      </c>
    </row>
    <row r="31" spans="1:8" s="9" customFormat="1">
      <c r="A31" s="12" t="s">
        <v>28</v>
      </c>
      <c r="B31" s="10" t="s">
        <v>29</v>
      </c>
      <c r="C31" s="10" t="s">
        <v>30</v>
      </c>
      <c r="D31" s="10"/>
      <c r="E31" s="10"/>
      <c r="F31" s="10"/>
      <c r="G31" s="10"/>
    </row>
    <row r="32" spans="1:8">
      <c r="A32" s="3"/>
    </row>
    <row r="33" spans="1:3">
      <c r="A33" s="8" t="s">
        <v>31</v>
      </c>
      <c r="B33" s="4">
        <f>E9+E20</f>
        <v>645</v>
      </c>
      <c r="C33" s="4" t="s">
        <v>32</v>
      </c>
    </row>
    <row r="34" spans="1:3">
      <c r="A34" s="8" t="s">
        <v>33</v>
      </c>
      <c r="B34" s="4">
        <f>G9+G20</f>
        <v>347.3</v>
      </c>
      <c r="C34" s="4" t="s">
        <v>32</v>
      </c>
    </row>
    <row r="35" spans="1:3">
      <c r="A35" s="8" t="s">
        <v>34</v>
      </c>
      <c r="B35" s="4">
        <v>0.8</v>
      </c>
      <c r="C35" s="4" t="s">
        <v>32</v>
      </c>
    </row>
    <row r="36" spans="1:3">
      <c r="A36" s="8" t="s">
        <v>35</v>
      </c>
      <c r="B36" s="4">
        <f>B34/B35</f>
        <v>434.125</v>
      </c>
      <c r="C36" s="4" t="s">
        <v>32</v>
      </c>
    </row>
    <row r="37" spans="1:3">
      <c r="A37" s="8" t="s">
        <v>36</v>
      </c>
      <c r="B37" s="4">
        <f t="shared" ref="B34:B39" si="2">E13+E24</f>
        <v>14</v>
      </c>
      <c r="C37" s="4" t="s">
        <v>32</v>
      </c>
    </row>
    <row r="38" spans="1:3">
      <c r="A38" s="8" t="s">
        <v>37</v>
      </c>
      <c r="B38" s="4">
        <f>B36*1.2</f>
        <v>520.94999999999993</v>
      </c>
      <c r="C38" s="4" t="s">
        <v>32</v>
      </c>
    </row>
    <row r="39" spans="1:3">
      <c r="A39" s="8" t="s">
        <v>38</v>
      </c>
      <c r="B39" s="4">
        <v>630</v>
      </c>
      <c r="C39" s="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F890-DEDE-4B4C-A3D3-1325B7EFE3CE}">
  <dimension ref="A1:F9"/>
  <sheetViews>
    <sheetView workbookViewId="0">
      <selection activeCell="C12" sqref="C12"/>
    </sheetView>
  </sheetViews>
  <sheetFormatPr defaultRowHeight="15"/>
  <cols>
    <col min="1" max="1" width="14" style="14" customWidth="1"/>
    <col min="2" max="2" width="22.42578125" style="14" customWidth="1"/>
    <col min="3" max="3" width="17.140625" style="4" customWidth="1"/>
    <col min="4" max="4" width="17.5703125" style="4" customWidth="1"/>
    <col min="5" max="5" width="23.7109375" style="14" customWidth="1"/>
    <col min="6" max="16384" width="9.140625" style="1"/>
  </cols>
  <sheetData>
    <row r="1" spans="1:6" s="9" customFormat="1">
      <c r="A1" s="13" t="s">
        <v>39</v>
      </c>
      <c r="B1" s="13" t="s">
        <v>40</v>
      </c>
      <c r="C1" s="10" t="s">
        <v>41</v>
      </c>
      <c r="D1" s="10" t="s">
        <v>3</v>
      </c>
      <c r="E1" s="13" t="s">
        <v>42</v>
      </c>
      <c r="F1" s="9" t="s">
        <v>43</v>
      </c>
    </row>
    <row r="3" spans="1:6">
      <c r="A3" s="14" t="s">
        <v>44</v>
      </c>
      <c r="B3" s="14" t="s">
        <v>45</v>
      </c>
      <c r="C3" s="4" t="s">
        <v>46</v>
      </c>
      <c r="D3" s="4">
        <v>1</v>
      </c>
      <c r="E3" s="14" t="s">
        <v>47</v>
      </c>
    </row>
    <row r="4" spans="1:6">
      <c r="A4" s="14" t="s">
        <v>44</v>
      </c>
      <c r="B4" s="14" t="s">
        <v>48</v>
      </c>
      <c r="C4" s="4" t="s">
        <v>49</v>
      </c>
      <c r="D4" s="4">
        <v>1</v>
      </c>
      <c r="E4" s="14" t="s">
        <v>50</v>
      </c>
    </row>
    <row r="5" spans="1:6">
      <c r="A5" s="14" t="s">
        <v>51</v>
      </c>
      <c r="B5" s="14" t="s">
        <v>52</v>
      </c>
      <c r="C5" s="4" t="s">
        <v>53</v>
      </c>
      <c r="D5" s="4">
        <v>1</v>
      </c>
      <c r="E5" s="14" t="s">
        <v>54</v>
      </c>
    </row>
    <row r="6" spans="1:6">
      <c r="A6" s="14" t="s">
        <v>55</v>
      </c>
      <c r="B6" s="14" t="s">
        <v>56</v>
      </c>
      <c r="C6" s="4" t="s">
        <v>57</v>
      </c>
      <c r="D6" s="4" t="s">
        <v>58</v>
      </c>
      <c r="E6" s="14" t="s">
        <v>59</v>
      </c>
    </row>
    <row r="7" spans="1:6">
      <c r="A7" s="14" t="s">
        <v>60</v>
      </c>
      <c r="B7" s="14" t="s">
        <v>61</v>
      </c>
      <c r="C7" s="4" t="s">
        <v>62</v>
      </c>
      <c r="D7" s="4">
        <v>10</v>
      </c>
      <c r="E7" s="14" t="s">
        <v>63</v>
      </c>
    </row>
    <row r="8" spans="1:6">
      <c r="A8" s="14" t="s">
        <v>60</v>
      </c>
      <c r="B8" s="14" t="s">
        <v>64</v>
      </c>
      <c r="C8" s="4">
        <v>0</v>
      </c>
      <c r="D8" s="4">
        <v>10</v>
      </c>
      <c r="E8" s="14" t="s">
        <v>65</v>
      </c>
    </row>
    <row r="9" spans="1:6">
      <c r="A9" s="14" t="s">
        <v>66</v>
      </c>
      <c r="B9" s="14" t="s">
        <v>67</v>
      </c>
      <c r="C9" s="4" t="s">
        <v>68</v>
      </c>
      <c r="D9" s="4">
        <v>40</v>
      </c>
      <c r="E9" s="14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0243-C13B-41D7-A4B7-6878EC65EF66}">
  <dimension ref="A1:F14"/>
  <sheetViews>
    <sheetView tabSelected="1" workbookViewId="0">
      <selection activeCell="F2" sqref="F2"/>
    </sheetView>
  </sheetViews>
  <sheetFormatPr defaultRowHeight="15"/>
  <cols>
    <col min="1" max="1" width="9.140625" style="15"/>
    <col min="2" max="2" width="36.5703125" style="16" bestFit="1" customWidth="1"/>
    <col min="3" max="3" width="9.140625" style="4"/>
    <col min="4" max="4" width="10.7109375" style="4" bestFit="1" customWidth="1"/>
    <col min="5" max="5" width="17.5703125" style="1" bestFit="1" customWidth="1"/>
    <col min="6" max="6" width="24.7109375" style="1" customWidth="1"/>
    <col min="7" max="16384" width="9.140625" style="1"/>
  </cols>
  <sheetData>
    <row r="1" spans="1:6" s="9" customFormat="1">
      <c r="A1" s="10" t="s">
        <v>70</v>
      </c>
      <c r="B1" s="9" t="s">
        <v>71</v>
      </c>
      <c r="C1" s="10" t="s">
        <v>72</v>
      </c>
      <c r="D1" s="10" t="s">
        <v>3</v>
      </c>
      <c r="E1" s="9" t="s">
        <v>73</v>
      </c>
      <c r="F1" s="20" t="s">
        <v>74</v>
      </c>
    </row>
    <row r="3" spans="1:6" ht="30.75">
      <c r="A3" s="15">
        <v>1</v>
      </c>
      <c r="B3" s="2" t="s">
        <v>75</v>
      </c>
      <c r="C3" s="4" t="s">
        <v>76</v>
      </c>
      <c r="D3" s="4">
        <v>1</v>
      </c>
      <c r="E3" s="19">
        <v>950000</v>
      </c>
      <c r="F3" s="1">
        <f>Table2[[#This Row],[Rate (₹)]]*Table2[[#This Row],[Quantity]]</f>
        <v>950000</v>
      </c>
    </row>
    <row r="4" spans="1:6" ht="30.75">
      <c r="A4" s="15">
        <v>2</v>
      </c>
      <c r="B4" s="2" t="s">
        <v>77</v>
      </c>
      <c r="C4" s="4" t="s">
        <v>76</v>
      </c>
      <c r="D4" s="4">
        <v>1</v>
      </c>
      <c r="E4" s="19">
        <v>1400000</v>
      </c>
      <c r="F4" s="1">
        <f>Table2[[#This Row],[Rate (₹)]]*Table2[[#This Row],[Quantity]]</f>
        <v>1400000</v>
      </c>
    </row>
    <row r="5" spans="1:6" ht="30.75">
      <c r="A5" s="15">
        <v>3</v>
      </c>
      <c r="B5" s="2" t="s">
        <v>78</v>
      </c>
      <c r="C5" s="4" t="s">
        <v>76</v>
      </c>
      <c r="D5" s="4">
        <v>1</v>
      </c>
      <c r="E5" s="19">
        <v>450000</v>
      </c>
      <c r="F5" s="1">
        <f>Table2[[#This Row],[Rate (₹)]]*Table2[[#This Row],[Quantity]]</f>
        <v>450000</v>
      </c>
    </row>
    <row r="6" spans="1:6">
      <c r="A6" s="15">
        <v>4</v>
      </c>
      <c r="B6" s="17" t="s">
        <v>79</v>
      </c>
      <c r="C6" s="4" t="s">
        <v>76</v>
      </c>
      <c r="D6" s="4">
        <v>1</v>
      </c>
      <c r="E6" s="19">
        <v>180000</v>
      </c>
      <c r="F6" s="1">
        <f>Table2[[#This Row],[Rate (₹)]]*Table2[[#This Row],[Quantity]]</f>
        <v>180000</v>
      </c>
    </row>
    <row r="7" spans="1:6" ht="30.75">
      <c r="A7" s="15">
        <v>5</v>
      </c>
      <c r="B7" s="2" t="s">
        <v>80</v>
      </c>
      <c r="C7" s="4" t="s">
        <v>81</v>
      </c>
      <c r="D7" s="4">
        <v>45</v>
      </c>
      <c r="E7" s="19">
        <v>9500</v>
      </c>
      <c r="F7" s="1">
        <f>Table2[[#This Row],[Rate (₹)]]*Table2[[#This Row],[Quantity]]</f>
        <v>427500</v>
      </c>
    </row>
    <row r="8" spans="1:6" ht="30.75">
      <c r="A8" s="15">
        <v>6</v>
      </c>
      <c r="B8" s="2" t="s">
        <v>82</v>
      </c>
      <c r="C8" s="4" t="s">
        <v>76</v>
      </c>
      <c r="D8" s="4">
        <v>10</v>
      </c>
      <c r="E8" s="19">
        <v>18000</v>
      </c>
      <c r="F8" s="1">
        <f>Table2[[#This Row],[Rate (₹)]]*Table2[[#This Row],[Quantity]]</f>
        <v>180000</v>
      </c>
    </row>
    <row r="9" spans="1:6" ht="30.75">
      <c r="A9" s="15">
        <v>7</v>
      </c>
      <c r="B9" s="2" t="s">
        <v>83</v>
      </c>
      <c r="C9" s="4" t="s">
        <v>76</v>
      </c>
      <c r="D9" s="4">
        <v>10</v>
      </c>
      <c r="E9" s="19">
        <v>35000</v>
      </c>
      <c r="F9" s="1">
        <f>Table2[[#This Row],[Rate (₹)]]*Table2[[#This Row],[Quantity]]</f>
        <v>350000</v>
      </c>
    </row>
    <row r="10" spans="1:6" ht="30.75">
      <c r="A10" s="15">
        <v>8</v>
      </c>
      <c r="B10" s="2" t="s">
        <v>84</v>
      </c>
      <c r="C10" s="4" t="s">
        <v>76</v>
      </c>
      <c r="D10" s="4">
        <v>40</v>
      </c>
      <c r="E10" s="19">
        <v>2500</v>
      </c>
      <c r="F10" s="1">
        <f>Table2[[#This Row],[Rate (₹)]]*Table2[[#This Row],[Quantity]]</f>
        <v>100000</v>
      </c>
    </row>
    <row r="11" spans="1:6" ht="30.75">
      <c r="A11" s="15">
        <v>9</v>
      </c>
      <c r="B11" s="2" t="s">
        <v>85</v>
      </c>
      <c r="C11" s="4" t="s">
        <v>81</v>
      </c>
      <c r="D11" s="4">
        <v>600</v>
      </c>
      <c r="E11" s="1">
        <v>350</v>
      </c>
      <c r="F11" s="1">
        <f>Table2[[#This Row],[Rate (₹)]]*Table2[[#This Row],[Quantity]]</f>
        <v>210000</v>
      </c>
    </row>
    <row r="12" spans="1:6">
      <c r="A12" s="15">
        <v>10</v>
      </c>
      <c r="B12" s="2" t="s">
        <v>86</v>
      </c>
      <c r="C12" s="4" t="s">
        <v>87</v>
      </c>
      <c r="D12" s="4">
        <v>4</v>
      </c>
      <c r="E12" s="19">
        <v>8000</v>
      </c>
      <c r="F12" s="1">
        <f>Table2[[#This Row],[Rate (₹)]]*Table2[[#This Row],[Quantity]]</f>
        <v>32000</v>
      </c>
    </row>
    <row r="13" spans="1:6">
      <c r="E13" s="19"/>
    </row>
    <row r="14" spans="1:6">
      <c r="E14" s="18" t="s">
        <v>88</v>
      </c>
      <c r="F14" s="18">
        <f>SUM(F3+F4+F5+F6+F7+F8+F9+F10+F11+F12)</f>
        <v>4279500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2026-01-26T13:57:59Z</dcterms:created>
  <dcterms:modified xsi:type="dcterms:W3CDTF">2026-01-27T18:07:46Z</dcterms:modified>
  <cp:category/>
  <cp:contentStatus/>
</cp:coreProperties>
</file>